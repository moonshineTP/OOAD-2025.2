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<sst xmlns="http://schemas.openxmlformats.org/spreadsheetml/2006/main" count="93" uniqueCount="81">
  <si>
    <t>Bảng Ước Lượng Đơn vị Ca Sử Dụng</t>
  </si>
  <si>
    <t>Bảng đánh giá trọng số tác nhân chưa hiệu chỉnh</t>
  </si>
  <si>
    <t>Loại Tác Nhân</t>
  </si>
  <si>
    <t>Mô tả</t>
  </si>
  <si>
    <t>Hệ số trọng số</t>
  </si>
  <si>
    <t>Số lượng</t>
  </si>
  <si>
    <t>Kết quả</t>
  </si>
  <si>
    <t>Đơn giản</t>
  </si>
  <si>
    <t>Hệ thống ngoại sử dụng API đầy đủ</t>
  </si>
  <si>
    <t>Trung bình</t>
  </si>
  <si>
    <t>Hệ thống ngoại sử dụng giao diện dựa trên giao thức, ví dụ, HTTP, TCT/IP, hoặc một cơ sở dữ liệu</t>
  </si>
  <si>
    <t>Phức tạp</t>
  </si>
  <si>
    <t>Con người</t>
  </si>
  <si>
    <t>Tổng trọng số tác nhân chưa hiệu chỉnh (UAW)</t>
  </si>
  <si>
    <t>Bảng đánh giá trọng số ca sử dụng chưa hiệu chỉnh</t>
  </si>
  <si>
    <t>Loại ca sử dụng</t>
  </si>
  <si>
    <t>1-3 giao dịch</t>
  </si>
  <si>
    <t>4-7 giao dịch</t>
  </si>
  <si>
    <t>&gt; 7 giao dịch</t>
  </si>
  <si>
    <t>Tổng trọng số ca sử dụng chưa hiệu chỉnh (UUCW)</t>
  </si>
  <si>
    <t>Số đơn vị ca sử dụng chưa hiệu chỉnh (UUCP) = UAW + UUCW</t>
  </si>
  <si>
    <t>Các chỉ số phức tạp kỹ thuật</t>
  </si>
  <si>
    <t>Mã chỉ số</t>
  </si>
  <si>
    <t>Hệ số Trọng số</t>
  </si>
  <si>
    <t>Đánh giá     (0-5)</t>
  </si>
  <si>
    <t>Kết quả trọng số</t>
  </si>
  <si>
    <t>NOTES</t>
  </si>
  <si>
    <t>T1</t>
  </si>
  <si>
    <t>Hệ phân tán</t>
  </si>
  <si>
    <t>T2</t>
  </si>
  <si>
    <t>Chỉ số thời gian phản hồi hoặc thông lượng</t>
  </si>
  <si>
    <t>T3</t>
  </si>
  <si>
    <t>Hiệu quả sử dụng thực tế</t>
  </si>
  <si>
    <t>T4</t>
  </si>
  <si>
    <t>Xử lý bên trong phức tạp</t>
  </si>
  <si>
    <t>T5</t>
  </si>
  <si>
    <t>Tái sử dụng mã nguồn</t>
  </si>
  <si>
    <t>T6</t>
  </si>
  <si>
    <t>Dễ cài đặt</t>
  </si>
  <si>
    <t>T7</t>
  </si>
  <si>
    <t>Dễ sử dụng</t>
  </si>
  <si>
    <t>T8</t>
  </si>
  <si>
    <t>Tính khả chuyển</t>
  </si>
  <si>
    <t>T9</t>
  </si>
  <si>
    <t>Dễ bảo trì</t>
  </si>
  <si>
    <t>T10</t>
  </si>
  <si>
    <t>Xử lý song song/đồng thời</t>
  </si>
  <si>
    <t>T11</t>
  </si>
  <si>
    <t>Bao gồm các yêu cầu bảo mật đặc biệt</t>
  </si>
  <si>
    <t>T12</t>
  </si>
  <si>
    <t>Sử dụng mã nguồn từ/cho bên thứ ba</t>
  </si>
  <si>
    <t>T13</t>
  </si>
  <si>
    <t>Yêu cầu đào tạo đặc biệt cho người dùng</t>
  </si>
  <si>
    <t>Trọng số kỹ thuật (TFactor)</t>
  </si>
  <si>
    <t>Hệ số phức tạp kỹ thuật (TCF) = 0.6 + (0.01 * TFactor)</t>
  </si>
  <si>
    <t>Các chỉ số môi trường</t>
  </si>
  <si>
    <t>Trọng số</t>
  </si>
  <si>
    <t>Đánh giá      (0-5)</t>
  </si>
  <si>
    <t>E1</t>
  </si>
  <si>
    <t>Có kinh nghiệm với quy trình phát triển hệ thống đang được sử dụng</t>
  </si>
  <si>
    <t>E2</t>
  </si>
  <si>
    <t>Có kinh nghiệm về lĩnh vực ứng dụng</t>
  </si>
  <si>
    <t>E3</t>
  </si>
  <si>
    <t>Kinh nghiệm về cách tiếp cận hướng đối tượng</t>
  </si>
  <si>
    <t>E4</t>
  </si>
  <si>
    <t>Kinh nghiệm của người phân tích</t>
  </si>
  <si>
    <t>E5</t>
  </si>
  <si>
    <t>Động lực</t>
  </si>
  <si>
    <t>E6</t>
  </si>
  <si>
    <t>Tính ổn định của yêu cầu</t>
  </si>
  <si>
    <t>E7</t>
  </si>
  <si>
    <t>Nhân sự bán thời gian</t>
  </si>
  <si>
    <t>E8</t>
  </si>
  <si>
    <t>Kinh nghiệm lập trình</t>
  </si>
  <si>
    <t>Trọng số môi trường (EFactor)</t>
  </si>
  <si>
    <t>Hệ số môi trường (EF) = 1.4 + (-0.03 * EFactor)</t>
  </si>
  <si>
    <t>Số đơn vị ca sử dụng sau hiệu chỉnh (UCP) = UUCP * TCF * ECF</t>
  </si>
  <si>
    <t>Đếm #chỉ số môi trường bất lợi = #chỉ số môi trường trong số E1-E6 được đánh giá &lt; 3 + #chỉ số môi trường trong số E7-E8 được đánh giá &gt; 3
Nếu #chỉ số môi trường bất lợi &lt;= 2 
     thì PHM = 20
Ngược lại nếu #chỉ số môi trường bất lợi = 3 hoặc 4
    thì PHM = 28
Ngược lại 
    thì nên cân nhắc lại về dự án, vì rủi ro quá cao.</t>
  </si>
  <si>
    <t>Số lượng chỉ số bất lợi</t>
  </si>
  <si>
    <t>PHM</t>
  </si>
  <si>
    <t>Chi phí theo giờ nhân lực = UCP * PHM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</si>
</sst>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Calibri"/>
      <scheme val="minor"/>
    </font>
    <font>
      <sz val="20.0"/>
      <color rgb="FF333333"/>
      <name val="Verdana"/>
    </font>
    <font/>
    <font>
      <sz val="20.0"/>
      <color theme="1"/>
      <name val="Verdana"/>
    </font>
    <font>
      <b/>
      <sz val="10.0"/>
      <color rgb="FF333333"/>
      <name val="Verdana"/>
    </font>
    <font>
      <b/>
      <sz val="10.0"/>
      <color theme="1"/>
      <name val="Verdana"/>
    </font>
    <font>
      <sz val="10.0"/>
      <color theme="1"/>
      <name val="Verdana"/>
    </font>
    <font>
      <b/>
      <i/>
      <sz val="9.0"/>
      <color theme="1"/>
      <name val="Verdana"/>
    </font>
    <font>
      <color theme="1"/>
      <name val="Calibri"/>
      <scheme val="minor"/>
    </font>
    <font>
      <sz val="10.0"/>
      <color rgb="FF000000"/>
      <name val="Verdana"/>
    </font>
    <font>
      <sz val="10.0"/>
      <color rgb="FF333333"/>
      <name val="Verdana"/>
    </font>
    <font>
      <b/>
      <i/>
      <sz val="10.0"/>
      <color theme="1"/>
      <name val="Verdana"/>
    </font>
    <font>
      <b/>
      <i/>
      <sz val="10.0"/>
      <color rgb="FF333333"/>
      <name val="Verdana"/>
    </font>
    <font>
      <sz val="9.0"/>
      <color rgb="FF333333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  <xf borderId="4" fillId="0" fontId="5" numFmtId="0" xfId="0" applyAlignment="1" applyBorder="1" applyFont="1">
      <alignment readingOrder="0" shrinkToFit="0" wrapText="1"/>
    </xf>
    <xf borderId="4" fillId="3" fontId="5" numFmtId="0" xfId="0" applyAlignment="1" applyBorder="1" applyFill="1" applyFont="1">
      <alignment readingOrder="0" shrinkToFit="0" wrapText="1"/>
    </xf>
    <xf borderId="0" fillId="0" fontId="6" numFmtId="0" xfId="0" applyAlignment="1" applyFont="1">
      <alignment shrinkToFit="0" wrapText="1"/>
    </xf>
    <xf borderId="5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6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readingOrder="0"/>
    </xf>
    <xf borderId="0" fillId="0" fontId="6" numFmtId="0" xfId="0" applyFont="1"/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right" readingOrder="0"/>
    </xf>
    <xf borderId="4" fillId="2" fontId="6" numFmtId="0" xfId="0" applyBorder="1" applyFont="1"/>
    <xf borderId="0" fillId="0" fontId="8" numFmtId="0" xfId="0" applyFont="1"/>
    <xf borderId="0" fillId="3" fontId="8" numFmtId="0" xfId="0" applyAlignment="1" applyFont="1">
      <alignment readingOrder="0"/>
    </xf>
    <xf borderId="4" fillId="0" fontId="5" numFmtId="0" xfId="0" applyBorder="1" applyFont="1"/>
    <xf borderId="7" fillId="0" fontId="9" numFmtId="0" xfId="0" applyAlignment="1" applyBorder="1" applyFont="1">
      <alignment shrinkToFit="0" vertical="top" wrapText="1"/>
    </xf>
    <xf borderId="8" fillId="0" fontId="10" numFmtId="0" xfId="0" applyAlignment="1" applyBorder="1" applyFont="1">
      <alignment readingOrder="0" shrinkToFit="0" vertical="top" wrapText="1"/>
    </xf>
    <xf borderId="8" fillId="0" fontId="10" numFmtId="164" xfId="0" applyAlignment="1" applyBorder="1" applyFont="1" applyNumberFormat="1">
      <alignment horizontal="left" shrinkToFit="0" vertical="top" wrapText="1"/>
    </xf>
    <xf borderId="8" fillId="3" fontId="6" numFmtId="0" xfId="0" applyAlignment="1" applyBorder="1" applyFont="1">
      <alignment readingOrder="0"/>
    </xf>
    <xf borderId="8" fillId="0" fontId="6" numFmtId="0" xfId="0" applyBorder="1" applyFont="1"/>
    <xf borderId="9" fillId="0" fontId="6" numFmtId="0" xfId="0" applyBorder="1" applyFont="1"/>
    <xf borderId="5" fillId="0" fontId="9" numFmtId="0" xfId="0" applyAlignment="1" applyBorder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0" numFmtId="164" xfId="0" applyAlignment="1" applyFont="1" applyNumberFormat="1">
      <alignment horizontal="left" shrinkToFit="0" vertical="top" wrapText="1"/>
    </xf>
    <xf borderId="6" fillId="0" fontId="6" numFmtId="0" xfId="0" applyBorder="1" applyFont="1"/>
    <xf borderId="10" fillId="0" fontId="9" numFmtId="0" xfId="0" applyAlignment="1" applyBorder="1" applyFont="1">
      <alignment shrinkToFit="0" vertical="top" wrapText="1"/>
    </xf>
    <xf borderId="11" fillId="0" fontId="10" numFmtId="0" xfId="0" applyAlignment="1" applyBorder="1" applyFont="1">
      <alignment readingOrder="0" shrinkToFit="0" vertical="top" wrapText="1"/>
    </xf>
    <xf borderId="11" fillId="0" fontId="10" numFmtId="164" xfId="0" applyAlignment="1" applyBorder="1" applyFont="1" applyNumberFormat="1">
      <alignment horizontal="left" shrinkToFit="0" vertical="top" wrapText="1"/>
    </xf>
    <xf borderId="11" fillId="3" fontId="6" numFmtId="0" xfId="0" applyAlignment="1" applyBorder="1" applyFont="1">
      <alignment readingOrder="0"/>
    </xf>
    <xf borderId="12" fillId="0" fontId="6" numFmtId="0" xfId="0" applyBorder="1" applyFont="1"/>
    <xf borderId="1" fillId="0" fontId="11" numFmtId="0" xfId="0" applyAlignment="1" applyBorder="1" applyFont="1">
      <alignment horizontal="right" readingOrder="0"/>
    </xf>
    <xf borderId="0" fillId="0" fontId="12" numFmtId="0" xfId="0" applyAlignment="1" applyFont="1">
      <alignment readingOrder="0"/>
    </xf>
    <xf borderId="4" fillId="0" fontId="5" numFmtId="0" xfId="0" applyAlignment="1" applyBorder="1" applyFont="1">
      <alignment horizontal="left" readingOrder="0" shrinkToFit="0" wrapText="1"/>
    </xf>
    <xf borderId="7" fillId="0" fontId="13" numFmtId="0" xfId="0" applyAlignment="1" applyBorder="1" applyFont="1">
      <alignment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3" numFmtId="164" xfId="0" applyAlignment="1" applyFont="1" applyNumberFormat="1">
      <alignment horizontal="left" shrinkToFit="0" vertical="top" wrapText="1"/>
    </xf>
    <xf borderId="8" fillId="0" fontId="6" numFmtId="1" xfId="0" applyBorder="1" applyFont="1" applyNumberFormat="1"/>
    <xf borderId="5" fillId="0" fontId="13" numFmtId="0" xfId="0" applyAlignment="1" applyBorder="1" applyFont="1">
      <alignment shrinkToFit="0" vertical="top" wrapText="1"/>
    </xf>
    <xf borderId="10" fillId="0" fontId="13" numFmtId="0" xfId="0" applyAlignment="1" applyBorder="1" applyFont="1">
      <alignment shrinkToFit="0" vertical="top" wrapText="1"/>
    </xf>
    <xf borderId="11" fillId="0" fontId="13" numFmtId="0" xfId="0" applyAlignment="1" applyBorder="1" applyFont="1">
      <alignment readingOrder="0" shrinkToFit="0" vertical="top" wrapText="1"/>
    </xf>
    <xf borderId="11" fillId="0" fontId="13" numFmtId="164" xfId="0" applyAlignment="1" applyBorder="1" applyFont="1" applyNumberFormat="1">
      <alignment horizontal="left" shrinkToFit="0" vertical="top" wrapText="1"/>
    </xf>
    <xf borderId="4" fillId="2" fontId="6" numFmtId="1" xfId="0" applyBorder="1" applyFont="1" applyNumberFormat="1"/>
    <xf borderId="0" fillId="0" fontId="12" numFmtId="0" xfId="0" applyAlignment="1" applyFont="1">
      <alignment readingOrder="0" vertical="top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 shrinkToFit="0" wrapText="1"/>
    </xf>
    <xf borderId="0" fillId="0" fontId="6" numFmtId="1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5" width="10.71"/>
    <col customWidth="1" min="6" max="6" width="22.29"/>
    <col customWidth="1" min="7" max="26" width="10.71"/>
  </cols>
  <sheetData>
    <row r="1" ht="27.75" customHeight="1">
      <c r="A1" s="1" t="s">
        <v>0</v>
      </c>
      <c r="B1" s="2"/>
      <c r="C1" s="2"/>
      <c r="D1" s="2"/>
      <c r="E1" s="3"/>
      <c r="F1" s="4"/>
    </row>
    <row r="2" ht="12.75" customHeight="1"/>
    <row r="3" ht="12.75" customHeight="1">
      <c r="A3" s="5" t="s">
        <v>1</v>
      </c>
    </row>
    <row r="4" ht="12.75" customHeight="1">
      <c r="A4" s="6" t="s">
        <v>2</v>
      </c>
      <c r="B4" s="6" t="s">
        <v>3</v>
      </c>
      <c r="C4" s="6" t="s">
        <v>4</v>
      </c>
      <c r="D4" s="7" t="s">
        <v>5</v>
      </c>
      <c r="E4" s="6" t="s">
        <v>6</v>
      </c>
      <c r="F4" s="8"/>
    </row>
    <row r="5" ht="12.75" customHeight="1">
      <c r="A5" s="9" t="s">
        <v>7</v>
      </c>
      <c r="B5" s="10" t="s">
        <v>8</v>
      </c>
      <c r="C5" s="8">
        <v>1.0</v>
      </c>
      <c r="D5" s="11">
        <v>1.0</v>
      </c>
      <c r="E5" s="12">
        <f t="shared" ref="E5:E7" si="1">C5*D5</f>
        <v>1</v>
      </c>
      <c r="F5" s="8"/>
    </row>
    <row r="6" ht="12.75" customHeight="1">
      <c r="A6" s="13" t="s">
        <v>9</v>
      </c>
      <c r="B6" s="10" t="s">
        <v>10</v>
      </c>
      <c r="C6" s="14">
        <v>2.0</v>
      </c>
      <c r="D6" s="15">
        <v>2.0</v>
      </c>
      <c r="E6" s="12">
        <f t="shared" si="1"/>
        <v>4</v>
      </c>
    </row>
    <row r="7" ht="12.75" customHeight="1">
      <c r="A7" s="13" t="s">
        <v>11</v>
      </c>
      <c r="B7" s="16" t="s">
        <v>12</v>
      </c>
      <c r="C7" s="14">
        <v>3.0</v>
      </c>
      <c r="D7" s="15">
        <v>3.0</v>
      </c>
      <c r="E7" s="12">
        <f t="shared" si="1"/>
        <v>9</v>
      </c>
    </row>
    <row r="8" ht="12.75" customHeight="1">
      <c r="A8" s="17" t="s">
        <v>13</v>
      </c>
      <c r="B8" s="2"/>
      <c r="C8" s="2"/>
      <c r="D8" s="3"/>
      <c r="E8" s="18">
        <f>SUM(E5:E7)</f>
        <v>14</v>
      </c>
    </row>
    <row r="9" ht="12.75" customHeight="1"/>
    <row r="10" ht="12.75" customHeight="1">
      <c r="A10" s="5" t="s">
        <v>14</v>
      </c>
    </row>
    <row r="11" ht="12.75" customHeight="1">
      <c r="A11" s="6" t="s">
        <v>15</v>
      </c>
      <c r="B11" s="6" t="s">
        <v>3</v>
      </c>
      <c r="C11" s="6" t="s">
        <v>4</v>
      </c>
      <c r="D11" s="7" t="s">
        <v>5</v>
      </c>
      <c r="E11" s="6" t="s">
        <v>6</v>
      </c>
    </row>
    <row r="12" ht="12.75" customHeight="1">
      <c r="A12" s="9" t="s">
        <v>7</v>
      </c>
      <c r="B12" s="16" t="s">
        <v>16</v>
      </c>
      <c r="C12" s="19">
        <v>5.0</v>
      </c>
      <c r="D12" s="20">
        <v>1.0</v>
      </c>
      <c r="E12" s="12">
        <f t="shared" ref="E12:E14" si="2">C12*D12</f>
        <v>5</v>
      </c>
    </row>
    <row r="13" ht="12.75" customHeight="1">
      <c r="A13" s="13" t="s">
        <v>9</v>
      </c>
      <c r="B13" s="16" t="s">
        <v>17</v>
      </c>
      <c r="C13" s="19">
        <v>10.0</v>
      </c>
      <c r="D13" s="20">
        <v>1.0</v>
      </c>
      <c r="E13" s="12">
        <f t="shared" si="2"/>
        <v>10</v>
      </c>
    </row>
    <row r="14" ht="12.75" customHeight="1">
      <c r="A14" s="13" t="s">
        <v>11</v>
      </c>
      <c r="B14" s="16" t="s">
        <v>18</v>
      </c>
      <c r="C14" s="19">
        <v>15.0</v>
      </c>
      <c r="D14" s="20">
        <v>1.0</v>
      </c>
      <c r="E14" s="12">
        <f t="shared" si="2"/>
        <v>15</v>
      </c>
    </row>
    <row r="15" ht="12.75" customHeight="1">
      <c r="A15" s="17" t="s">
        <v>19</v>
      </c>
      <c r="B15" s="2"/>
      <c r="C15" s="2"/>
      <c r="D15" s="3"/>
      <c r="E15" s="18">
        <f>SUM(E12:E14)</f>
        <v>30</v>
      </c>
    </row>
    <row r="16" ht="15.0" customHeight="1"/>
    <row r="17" ht="12.75" customHeight="1">
      <c r="A17" s="5" t="s">
        <v>20</v>
      </c>
      <c r="E17" s="19">
        <f>E8+E15</f>
        <v>44</v>
      </c>
    </row>
    <row r="18" ht="12.75" customHeight="1"/>
    <row r="19" ht="12.75" customHeight="1">
      <c r="A19" s="5" t="s">
        <v>21</v>
      </c>
    </row>
    <row r="20" ht="12.75" customHeight="1">
      <c r="A20" s="6" t="s">
        <v>22</v>
      </c>
      <c r="B20" s="6" t="s">
        <v>3</v>
      </c>
      <c r="C20" s="6" t="s">
        <v>23</v>
      </c>
      <c r="D20" s="6" t="s">
        <v>24</v>
      </c>
      <c r="E20" s="6" t="s">
        <v>25</v>
      </c>
      <c r="F20" s="21" t="s">
        <v>26</v>
      </c>
    </row>
    <row r="21" ht="12.75" customHeight="1">
      <c r="A21" s="22" t="s">
        <v>27</v>
      </c>
      <c r="B21" s="23" t="s">
        <v>28</v>
      </c>
      <c r="C21" s="24">
        <v>2.0</v>
      </c>
      <c r="D21" s="25">
        <v>5.0</v>
      </c>
      <c r="E21" s="26">
        <f t="shared" ref="E21:E33" si="3">C21*D21</f>
        <v>10</v>
      </c>
      <c r="F21" s="27"/>
    </row>
    <row r="22" ht="12.75" customHeight="1">
      <c r="A22" s="28" t="s">
        <v>29</v>
      </c>
      <c r="B22" s="29" t="s">
        <v>30</v>
      </c>
      <c r="C22" s="30">
        <v>1.0</v>
      </c>
      <c r="D22" s="15">
        <v>5.0</v>
      </c>
      <c r="E22" s="26">
        <f t="shared" si="3"/>
        <v>5</v>
      </c>
      <c r="F22" s="31"/>
    </row>
    <row r="23" ht="12.75" customHeight="1">
      <c r="A23" s="28" t="s">
        <v>31</v>
      </c>
      <c r="B23" s="29" t="s">
        <v>32</v>
      </c>
      <c r="C23" s="30">
        <v>1.0</v>
      </c>
      <c r="D23" s="15">
        <v>5.0</v>
      </c>
      <c r="E23" s="26">
        <f t="shared" si="3"/>
        <v>5</v>
      </c>
      <c r="F23" s="31"/>
    </row>
    <row r="24" ht="12.75" customHeight="1">
      <c r="A24" s="28" t="s">
        <v>33</v>
      </c>
      <c r="B24" s="29" t="s">
        <v>34</v>
      </c>
      <c r="C24" s="30">
        <v>1.0</v>
      </c>
      <c r="D24" s="15">
        <v>3.0</v>
      </c>
      <c r="E24" s="26">
        <f t="shared" si="3"/>
        <v>3</v>
      </c>
      <c r="F24" s="31"/>
    </row>
    <row r="25" ht="12.75" customHeight="1">
      <c r="A25" s="28" t="s">
        <v>35</v>
      </c>
      <c r="B25" s="29" t="s">
        <v>36</v>
      </c>
      <c r="C25" s="30">
        <v>1.0</v>
      </c>
      <c r="D25" s="15">
        <v>3.0</v>
      </c>
      <c r="E25" s="26">
        <f t="shared" si="3"/>
        <v>3</v>
      </c>
      <c r="F25" s="31"/>
    </row>
    <row r="26" ht="12.75" customHeight="1">
      <c r="A26" s="28" t="s">
        <v>37</v>
      </c>
      <c r="B26" s="29" t="s">
        <v>38</v>
      </c>
      <c r="C26" s="30">
        <v>0.5</v>
      </c>
      <c r="D26" s="15">
        <v>3.0</v>
      </c>
      <c r="E26" s="26">
        <f t="shared" si="3"/>
        <v>1.5</v>
      </c>
      <c r="F26" s="31"/>
    </row>
    <row r="27" ht="12.75" customHeight="1">
      <c r="A27" s="28" t="s">
        <v>39</v>
      </c>
      <c r="B27" s="29" t="s">
        <v>40</v>
      </c>
      <c r="C27" s="30">
        <v>0.5</v>
      </c>
      <c r="D27" s="15">
        <v>5.0</v>
      </c>
      <c r="E27" s="26">
        <f t="shared" si="3"/>
        <v>2.5</v>
      </c>
      <c r="F27" s="31"/>
    </row>
    <row r="28" ht="12.75" customHeight="1">
      <c r="A28" s="28" t="s">
        <v>41</v>
      </c>
      <c r="B28" s="29" t="s">
        <v>42</v>
      </c>
      <c r="C28" s="30">
        <v>2.0</v>
      </c>
      <c r="D28" s="15">
        <v>4.0</v>
      </c>
      <c r="E28" s="26">
        <f t="shared" si="3"/>
        <v>8</v>
      </c>
      <c r="F28" s="31"/>
    </row>
    <row r="29" ht="12.75" customHeight="1">
      <c r="A29" s="28" t="s">
        <v>43</v>
      </c>
      <c r="B29" s="29" t="s">
        <v>44</v>
      </c>
      <c r="C29" s="30">
        <v>1.0</v>
      </c>
      <c r="D29" s="15">
        <v>3.0</v>
      </c>
      <c r="E29" s="26">
        <f t="shared" si="3"/>
        <v>3</v>
      </c>
      <c r="F29" s="31"/>
    </row>
    <row r="30" ht="12.75" customHeight="1">
      <c r="A30" s="28" t="s">
        <v>45</v>
      </c>
      <c r="B30" s="29" t="s">
        <v>46</v>
      </c>
      <c r="C30" s="30">
        <v>1.0</v>
      </c>
      <c r="D30" s="15">
        <v>3.0</v>
      </c>
      <c r="E30" s="26">
        <f t="shared" si="3"/>
        <v>3</v>
      </c>
      <c r="F30" s="31"/>
    </row>
    <row r="31" ht="12.75" customHeight="1">
      <c r="A31" s="28" t="s">
        <v>47</v>
      </c>
      <c r="B31" s="29" t="s">
        <v>48</v>
      </c>
      <c r="C31" s="30">
        <v>1.0</v>
      </c>
      <c r="D31" s="15">
        <v>5.0</v>
      </c>
      <c r="E31" s="26">
        <f t="shared" si="3"/>
        <v>5</v>
      </c>
      <c r="F31" s="31"/>
    </row>
    <row r="32" ht="12.75" customHeight="1">
      <c r="A32" s="28" t="s">
        <v>49</v>
      </c>
      <c r="B32" s="29" t="s">
        <v>50</v>
      </c>
      <c r="C32" s="30">
        <v>1.0</v>
      </c>
      <c r="D32" s="15">
        <v>5.0</v>
      </c>
      <c r="E32" s="26">
        <f t="shared" si="3"/>
        <v>5</v>
      </c>
      <c r="F32" s="31"/>
    </row>
    <row r="33" ht="12.75" customHeight="1">
      <c r="A33" s="32" t="s">
        <v>51</v>
      </c>
      <c r="B33" s="33" t="s">
        <v>52</v>
      </c>
      <c r="C33" s="34">
        <v>1.0</v>
      </c>
      <c r="D33" s="35">
        <v>3.0</v>
      </c>
      <c r="E33" s="26">
        <f t="shared" si="3"/>
        <v>3</v>
      </c>
      <c r="F33" s="36"/>
    </row>
    <row r="34" ht="12.75" customHeight="1">
      <c r="A34" s="37" t="s">
        <v>53</v>
      </c>
      <c r="B34" s="2"/>
      <c r="C34" s="2"/>
      <c r="D34" s="3"/>
      <c r="E34" s="18">
        <f>SUM(E21:E33)</f>
        <v>57</v>
      </c>
      <c r="F34" s="18"/>
    </row>
    <row r="35" ht="12.75" customHeight="1"/>
    <row r="36" ht="12.75" customHeight="1">
      <c r="A36" s="38" t="s">
        <v>54</v>
      </c>
      <c r="E36" s="19">
        <f>0.6+(0.01*E34)</f>
        <v>1.17</v>
      </c>
    </row>
    <row r="37" ht="12.75" customHeight="1"/>
    <row r="38" ht="12.75" customHeight="1">
      <c r="A38" s="5" t="s">
        <v>55</v>
      </c>
    </row>
    <row r="39" ht="12.75" customHeight="1">
      <c r="A39" s="6" t="s">
        <v>22</v>
      </c>
      <c r="B39" s="6" t="s">
        <v>3</v>
      </c>
      <c r="C39" s="39" t="s">
        <v>56</v>
      </c>
      <c r="D39" s="6" t="s">
        <v>57</v>
      </c>
      <c r="E39" s="6" t="s">
        <v>25</v>
      </c>
      <c r="F39" s="21" t="s">
        <v>26</v>
      </c>
    </row>
    <row r="40" ht="12.75" customHeight="1">
      <c r="A40" s="40" t="s">
        <v>58</v>
      </c>
      <c r="B40" s="41" t="s">
        <v>59</v>
      </c>
      <c r="C40" s="42">
        <v>1.5</v>
      </c>
      <c r="D40" s="15">
        <v>5.0</v>
      </c>
      <c r="E40" s="43">
        <f t="shared" ref="E40:E47" si="4">C40*D40</f>
        <v>7.5</v>
      </c>
      <c r="F40" s="31"/>
    </row>
    <row r="41" ht="12.75" customHeight="1">
      <c r="A41" s="44" t="s">
        <v>60</v>
      </c>
      <c r="B41" s="41" t="s">
        <v>61</v>
      </c>
      <c r="C41" s="42">
        <v>0.5</v>
      </c>
      <c r="D41" s="15">
        <v>5.0</v>
      </c>
      <c r="E41" s="43">
        <f t="shared" si="4"/>
        <v>2.5</v>
      </c>
      <c r="F41" s="31"/>
    </row>
    <row r="42" ht="12.75" customHeight="1">
      <c r="A42" s="44" t="s">
        <v>62</v>
      </c>
      <c r="B42" s="41" t="s">
        <v>63</v>
      </c>
      <c r="C42" s="42">
        <v>1.0</v>
      </c>
      <c r="D42" s="15">
        <v>3.0</v>
      </c>
      <c r="E42" s="43">
        <f t="shared" si="4"/>
        <v>3</v>
      </c>
      <c r="F42" s="31"/>
    </row>
    <row r="43" ht="12.75" customHeight="1">
      <c r="A43" s="44" t="s">
        <v>64</v>
      </c>
      <c r="B43" s="41" t="s">
        <v>65</v>
      </c>
      <c r="C43" s="42">
        <v>0.5</v>
      </c>
      <c r="D43" s="15">
        <v>3.0</v>
      </c>
      <c r="E43" s="43">
        <f t="shared" si="4"/>
        <v>1.5</v>
      </c>
      <c r="F43" s="31"/>
    </row>
    <row r="44" ht="12.75" customHeight="1">
      <c r="A44" s="44" t="s">
        <v>66</v>
      </c>
      <c r="B44" s="41" t="s">
        <v>67</v>
      </c>
      <c r="C44" s="42">
        <v>1.0</v>
      </c>
      <c r="D44" s="15">
        <v>2.0</v>
      </c>
      <c r="E44" s="43">
        <f t="shared" si="4"/>
        <v>2</v>
      </c>
      <c r="F44" s="31"/>
    </row>
    <row r="45" ht="12.75" customHeight="1">
      <c r="A45" s="44" t="s">
        <v>68</v>
      </c>
      <c r="B45" s="41" t="s">
        <v>69</v>
      </c>
      <c r="C45" s="42">
        <v>2.0</v>
      </c>
      <c r="D45" s="15">
        <v>2.0</v>
      </c>
      <c r="E45" s="43">
        <f t="shared" si="4"/>
        <v>4</v>
      </c>
      <c r="F45" s="31"/>
    </row>
    <row r="46" ht="12.75" customHeight="1">
      <c r="A46" s="44" t="s">
        <v>70</v>
      </c>
      <c r="B46" s="41" t="s">
        <v>71</v>
      </c>
      <c r="C46" s="42">
        <v>-1.0</v>
      </c>
      <c r="D46" s="15">
        <v>1.0</v>
      </c>
      <c r="E46" s="43">
        <f t="shared" si="4"/>
        <v>-1</v>
      </c>
      <c r="F46" s="31"/>
    </row>
    <row r="47" ht="12.75" customHeight="1">
      <c r="A47" s="45" t="s">
        <v>72</v>
      </c>
      <c r="B47" s="46" t="s">
        <v>73</v>
      </c>
      <c r="C47" s="47">
        <v>-1.0</v>
      </c>
      <c r="D47" s="35">
        <v>2.0</v>
      </c>
      <c r="E47" s="43">
        <f t="shared" si="4"/>
        <v>-2</v>
      </c>
      <c r="F47" s="36"/>
    </row>
    <row r="48" ht="12.75" customHeight="1">
      <c r="A48" s="37" t="s">
        <v>74</v>
      </c>
      <c r="B48" s="2"/>
      <c r="C48" s="2"/>
      <c r="D48" s="3"/>
      <c r="E48" s="48">
        <f>SUM(E40:E47)</f>
        <v>17.5</v>
      </c>
      <c r="F48" s="18"/>
    </row>
    <row r="49" ht="12.75" customHeight="1">
      <c r="A49" s="14"/>
      <c r="B49" s="14"/>
      <c r="C49" s="14"/>
      <c r="D49" s="14"/>
      <c r="E49" s="14"/>
      <c r="F49" s="14"/>
    </row>
    <row r="50" ht="12.75" customHeight="1">
      <c r="A50" s="49" t="s">
        <v>75</v>
      </c>
      <c r="B50" s="14"/>
      <c r="C50" s="14"/>
      <c r="D50" s="14"/>
      <c r="E50" s="14">
        <f>1.4+(-0.03*E48)</f>
        <v>0.875</v>
      </c>
      <c r="F50" s="14"/>
    </row>
    <row r="51" ht="12.75" customHeight="1">
      <c r="A51" s="14"/>
      <c r="B51" s="14"/>
      <c r="C51" s="14"/>
      <c r="D51" s="14"/>
      <c r="E51" s="14"/>
      <c r="F51" s="14"/>
    </row>
    <row r="52" ht="12.75" customHeight="1">
      <c r="A52" s="50" t="s">
        <v>76</v>
      </c>
      <c r="B52" s="14"/>
      <c r="C52" s="14"/>
      <c r="D52" s="14"/>
      <c r="E52" s="14">
        <f>E17*E36*E50</f>
        <v>45.045</v>
      </c>
      <c r="F52" s="14"/>
    </row>
    <row r="53" ht="12.75" customHeight="1">
      <c r="A53" s="51"/>
      <c r="B53" s="14"/>
      <c r="C53" s="14"/>
      <c r="D53" s="14"/>
      <c r="E53" s="14"/>
      <c r="F53" s="14"/>
    </row>
    <row r="54" ht="118.5" customHeight="1">
      <c r="A54" s="52" t="s">
        <v>77</v>
      </c>
      <c r="E54" s="53"/>
      <c r="F54" s="10"/>
    </row>
    <row r="55" ht="12.75" customHeight="1">
      <c r="A55" s="54" t="s">
        <v>78</v>
      </c>
      <c r="E55" s="14">
        <f>COUNTIF(D40:D45, "&lt;3")+COUNTIF(D46:D47, "&gt;3")</f>
        <v>2</v>
      </c>
      <c r="F55" s="14"/>
    </row>
    <row r="56" ht="12.75" customHeight="1">
      <c r="A56" s="54" t="s">
        <v>79</v>
      </c>
      <c r="E56" s="14">
        <f>IF(E55&lt;=2, 20, IF(E55&lt;5, 28, "Consider to stop the project!"))</f>
        <v>20</v>
      </c>
      <c r="F56" s="14"/>
    </row>
    <row r="57" ht="12.75" customHeight="1">
      <c r="A57" s="50" t="s">
        <v>80</v>
      </c>
      <c r="B57" s="14"/>
      <c r="C57" s="14"/>
      <c r="D57" s="14"/>
      <c r="E57" s="14">
        <f>E52*E56</f>
        <v>900.9</v>
      </c>
      <c r="F57" s="14"/>
    </row>
    <row r="58" ht="12.75" customHeight="1">
      <c r="A58" s="14"/>
      <c r="B58" s="14"/>
      <c r="C58" s="14"/>
      <c r="D58" s="14"/>
      <c r="E58" s="14"/>
      <c r="F58" s="14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8">
    <mergeCell ref="A1:E1"/>
    <mergeCell ref="A8:D8"/>
    <mergeCell ref="A15:D15"/>
    <mergeCell ref="A34:D34"/>
    <mergeCell ref="A48:D48"/>
    <mergeCell ref="A54:D54"/>
    <mergeCell ref="A55:D55"/>
    <mergeCell ref="A56:D56"/>
  </mergeCells>
  <conditionalFormatting sqref="A37">
    <cfRule type="notContainsBlanks" dxfId="0" priority="1">
      <formula>LEN(TRIM(A37))&gt;0</formula>
    </cfRule>
  </conditionalFormatting>
  <printOptions/>
  <pageMargins bottom="0.75" footer="0.0" header="0.0" left="1.0" right="1.0" top="0.75"/>
  <pageSetup paperSize="8" orientation="portrait"/>
  <drawing r:id="rId1"/>
</worksheet>
</file>